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3335" windowHeight="693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4" i="1"/>
  <c r="F45" s="1"/>
  <c r="F21"/>
</calcChain>
</file>

<file path=xl/sharedStrings.xml><?xml version="1.0" encoding="utf-8"?>
<sst xmlns="http://schemas.openxmlformats.org/spreadsheetml/2006/main" count="89" uniqueCount="58">
  <si>
    <t>Sl.
No.</t>
  </si>
  <si>
    <t>Item Description</t>
  </si>
  <si>
    <t>Quantity</t>
  </si>
  <si>
    <t>Units</t>
  </si>
  <si>
    <t>Replacement of existing overhead 11 kV distribution lines with underground cables and other allied works in English Bazar Municipality area alongwith area attached to KPS 33/11 KV Substation (Malda District) under the jurisdiction of Malda Division of WBSEDCL throgh turnkey mode.</t>
  </si>
  <si>
    <t>Supply &amp; delivery of SCADA RMU, 11 KV outdoor non-extensible 3-way (2 LBS +1 OG) for 630KVA DTR as per technical specifications, scope of works and approved drawings.</t>
  </si>
  <si>
    <t>SET</t>
  </si>
  <si>
    <t>Supply &amp; delivery of SCADA RMU, 11 KV outdoor non-extensible 4-way (2 LBS +2 OG) for 630KVA DTR as per technical specifications, scope of works and approved drawings</t>
  </si>
  <si>
    <t xml:space="preserve"> Supply &amp; delivery of  11 KV Grade 3 x 400 sq.mm  XLPE Cable as per technical specifications, scope of works and approved drawings  </t>
  </si>
  <si>
    <t>KM</t>
  </si>
  <si>
    <t xml:space="preserve"> Supply &amp; delivery of  11 KV Grade 3 x 185 sq.mm  XLPE Cable as per technical specifications, scope of works and approved drawings  </t>
  </si>
  <si>
    <t xml:space="preserve">Supply &amp; delivery of  Indoor type Heat shrinkable end Termination Jointing kit for 11 KV, 3C x 400 sq.mm XLPE Cable as per technical specifications, scope of works and approved drawings </t>
  </si>
  <si>
    <t>NOS</t>
  </si>
  <si>
    <t xml:space="preserve">Supply &amp; delivery of  Outdoor type Heat shrinkable end Termination Jointing kit for 11 KV, 3C x 400 sq.mm XLPE Cable as per technical specifications, scope of works and approved drawings </t>
  </si>
  <si>
    <t>Supply &amp; delivery of  Heat shrinkable Straight Through Jointing kit for 11 KV, 3C x 400sq.mm XLPE Cable as per technical specifications, scope of works and approved drawings</t>
  </si>
  <si>
    <t xml:space="preserve">Supply &amp; delivery of  Outdoor type Heat shrinkable end Termination Jointing kit for 11 KV, 3C x 185 sq.mm XLPE Cable as per technical specifications, scope of works and approved drawings </t>
  </si>
  <si>
    <t>Supply &amp; delivery of  Indoor type Heat shrinkable end Termination Jointing kit for 11 KV, 3C x 185 sq.mm XLPE Cable as per technical specifications, scope of works and approved drawings.</t>
  </si>
  <si>
    <t>Supply &amp; delivery of  Heat shrinkable Straight Through Jointing kit for 11 KV, 3C x 185 sq.mm XLPE Cable as per technical specifications, scope of works and approved drawings.</t>
  </si>
  <si>
    <t>Supply &amp; delivery of 11 kV Polymer PIN Insulator as per technical specifications, scope of works and approved drawings.</t>
  </si>
  <si>
    <t>Supply &amp; delivery of MS Channel (75X40 MM) as per technical specifications, scope of works and approved drawings.</t>
  </si>
  <si>
    <t>MT</t>
  </si>
  <si>
    <t>Supply &amp; delivery of MS Flat (65X6 MM) as per technical specifications, scope of works and approved drawings.</t>
  </si>
  <si>
    <t>Supply &amp; delivery of GI Wire (5mm Wire) as per technical specifications, scope of works and approved drawings.</t>
  </si>
  <si>
    <t>Survey of HT cable route</t>
  </si>
  <si>
    <t>M</t>
  </si>
  <si>
    <t>Laying and dressing of 11kV 3C 400SQMM XLPE cable.</t>
  </si>
  <si>
    <t>Laying and dressing of 11kV 3C 185SQMM XLPE cable.</t>
  </si>
  <si>
    <t>Making of indoor and outdoor end termination joint in 11kV 3C 400SQMM XLPE cable.</t>
  </si>
  <si>
    <t>Making of straight through joint in 11kV 3C 400SQMM XLPE cable.</t>
  </si>
  <si>
    <t>Making of indoor and outdoor end termination joint in 11kV 3C 185SQMM XLPE cable.</t>
  </si>
  <si>
    <t>Making of straight through joint in 11kV 3C 185SQMM XLPE cable.</t>
  </si>
  <si>
    <t>Making protective duct for cable joint</t>
  </si>
  <si>
    <t>Supply and erection of cast iron cable marker to identify UG cable location</t>
  </si>
  <si>
    <t>Supply and fixing of GI Pipe (100 MM Dia) for cable protection purpose</t>
  </si>
  <si>
    <t>Microtunneling work with laying of HDPE pipe as per instructuion of the site Engineer and site condition (160 MM Dia, PE-80, PN-6) for laying of UG cable along with supply of HDPE pipe.</t>
  </si>
  <si>
    <t>Microtunneling work with laying of HDPE pipe as per instructuion of the site Engineer and site condition ( 110 MM Dia, PE-80, PN-6) for laying of UG cable along with supply of HDPE pipe.</t>
  </si>
  <si>
    <t>Excavation of soil for formation of cable trench for laying of 11kV 3C 185SQMM XLPE cable.</t>
  </si>
  <si>
    <t>CUM</t>
  </si>
  <si>
    <t>Excavation of soil for formation of cable round and re-instatement of the same.</t>
  </si>
  <si>
    <t>Supply and laying of 1st class kiln burnt bricks.</t>
  </si>
  <si>
    <t>Making of RCC foundation for installation of outdoor 11 kV 3 way &amp; 4 way RMU.</t>
  </si>
  <si>
    <t>Erection of outdoor 11 kV 3 Way RMU.</t>
  </si>
  <si>
    <t>Erection of outdoor 11 kV 4 Way RMU.</t>
  </si>
  <si>
    <t>Earthing of outdoor 11 kV 3 Way &amp; 4 Way RMU along with supply of earthing materials (GI pipe and GI flat).</t>
  </si>
  <si>
    <t>Fixing of 11 kV PIN Insulator.</t>
  </si>
  <si>
    <t>Earthing complete.</t>
  </si>
  <si>
    <t>Total in Figures</t>
  </si>
  <si>
    <t xml:space="preserve"> Name of Work: Replacement of existing overhead 11 kV distribution lines with underground cables and other allied works in English Bazar Municipality area alongwith area attached to KPS 33/11 KV Substation (Malda District) under the jurisdiction of Malda Division of WBSEDCL throgh turnkey mode.</t>
  </si>
  <si>
    <t>SHEDULE OF WORK</t>
  </si>
  <si>
    <t>Part-B</t>
  </si>
  <si>
    <t>Erection Part</t>
  </si>
  <si>
    <t>Total of Part-A</t>
  </si>
  <si>
    <t>Total of Part-B</t>
  </si>
  <si>
    <t>Ruppees Thirty One Crore Forteen Lakh Eighteen Thousand One Hundred Ninety and Fifty Two Paisa Only</t>
  </si>
  <si>
    <t>Part-A</t>
  </si>
  <si>
    <t>Material Part</t>
  </si>
  <si>
    <t>Quoted Rate in
Rs.      P</t>
  </si>
  <si>
    <t xml:space="preserve">TOTAL AMOUNT EXCLUDING GST 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</si>
</sst>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topLeftCell="A25" workbookViewId="0">
      <selection activeCell="K4" sqref="K4"/>
    </sheetView>
  </sheetViews>
  <sheetFormatPr defaultRowHeight="15"/>
  <cols>
    <col min="1" max="1" width="14.42578125" style="2" customWidth="1"/>
    <col min="2" max="2" width="70.5703125" style="8" customWidth="1"/>
    <col min="3" max="3" width="13.28515625" style="2" customWidth="1"/>
    <col min="4" max="4" width="9.85546875" style="2" customWidth="1"/>
    <col min="5" max="5" width="12.42578125" style="2" customWidth="1"/>
    <col min="6" max="6" width="18.42578125" style="2" customWidth="1"/>
    <col min="10" max="10" width="14.28515625" customWidth="1"/>
  </cols>
  <sheetData>
    <row r="1" spans="1:6" ht="39.75" customHeight="1">
      <c r="A1" s="16" t="s">
        <v>48</v>
      </c>
      <c r="B1" s="16"/>
      <c r="C1" s="16"/>
      <c r="D1" s="16"/>
      <c r="E1" s="16"/>
      <c r="F1" s="16"/>
    </row>
    <row r="2" spans="1:6" ht="69" customHeight="1">
      <c r="A2" s="15" t="s">
        <v>47</v>
      </c>
      <c r="B2" s="15"/>
      <c r="C2" s="15"/>
      <c r="D2" s="15"/>
      <c r="E2" s="15"/>
      <c r="F2" s="15"/>
    </row>
    <row r="3" spans="1:6" ht="47.25">
      <c r="A3" s="10" t="s">
        <v>0</v>
      </c>
      <c r="B3" s="11" t="s">
        <v>1</v>
      </c>
      <c r="C3" s="11" t="s">
        <v>2</v>
      </c>
      <c r="D3" s="11" t="s">
        <v>3</v>
      </c>
      <c r="E3" s="10" t="s">
        <v>56</v>
      </c>
      <c r="F3" s="10" t="s">
        <v>57</v>
      </c>
    </row>
    <row r="4" spans="1:6" ht="60">
      <c r="A4" s="1"/>
      <c r="B4" s="6" t="s">
        <v>4</v>
      </c>
      <c r="C4" s="1"/>
      <c r="D4" s="1"/>
      <c r="E4" s="1"/>
      <c r="F4" s="1"/>
    </row>
    <row r="5" spans="1:6">
      <c r="A5" s="1" t="s">
        <v>54</v>
      </c>
      <c r="B5" s="23" t="s">
        <v>55</v>
      </c>
      <c r="C5" s="1"/>
      <c r="D5" s="1"/>
      <c r="E5" s="1"/>
      <c r="F5" s="1"/>
    </row>
    <row r="6" spans="1:6" ht="45">
      <c r="A6" s="1">
        <v>1</v>
      </c>
      <c r="B6" s="7" t="s">
        <v>5</v>
      </c>
      <c r="C6" s="1">
        <v>12</v>
      </c>
      <c r="D6" s="1" t="s">
        <v>6</v>
      </c>
      <c r="E6" s="12">
        <v>809667.85</v>
      </c>
      <c r="F6" s="12">
        <v>9716014.1999999993</v>
      </c>
    </row>
    <row r="7" spans="1:6" ht="45">
      <c r="A7" s="1">
        <v>2</v>
      </c>
      <c r="B7" s="7" t="s">
        <v>7</v>
      </c>
      <c r="C7" s="1">
        <v>18</v>
      </c>
      <c r="D7" s="1" t="s">
        <v>6</v>
      </c>
      <c r="E7" s="12">
        <v>881751.8</v>
      </c>
      <c r="F7" s="12">
        <v>15871532.4</v>
      </c>
    </row>
    <row r="8" spans="1:6" ht="30">
      <c r="A8" s="1">
        <v>3</v>
      </c>
      <c r="B8" s="7" t="s">
        <v>8</v>
      </c>
      <c r="C8" s="1">
        <v>40.704999999999998</v>
      </c>
      <c r="D8" s="1" t="s">
        <v>9</v>
      </c>
      <c r="E8" s="12">
        <v>2151847.64</v>
      </c>
      <c r="F8" s="12">
        <v>87590958.189999998</v>
      </c>
    </row>
    <row r="9" spans="1:6" ht="30">
      <c r="A9" s="1">
        <v>4</v>
      </c>
      <c r="B9" s="7" t="s">
        <v>10</v>
      </c>
      <c r="C9" s="1">
        <v>63.75</v>
      </c>
      <c r="D9" s="1" t="s">
        <v>9</v>
      </c>
      <c r="E9" s="12">
        <v>1213366.1599999999</v>
      </c>
      <c r="F9" s="12">
        <v>77352092.700000003</v>
      </c>
    </row>
    <row r="10" spans="1:6" ht="45">
      <c r="A10" s="1">
        <v>5</v>
      </c>
      <c r="B10" s="7" t="s">
        <v>11</v>
      </c>
      <c r="C10" s="1">
        <v>71</v>
      </c>
      <c r="D10" s="1" t="s">
        <v>12</v>
      </c>
      <c r="E10" s="12">
        <v>7403.76</v>
      </c>
      <c r="F10" s="12">
        <v>525666.96</v>
      </c>
    </row>
    <row r="11" spans="1:6" ht="45">
      <c r="A11" s="1">
        <v>6</v>
      </c>
      <c r="B11" s="7" t="s">
        <v>13</v>
      </c>
      <c r="C11" s="1">
        <v>22</v>
      </c>
      <c r="D11" s="1" t="s">
        <v>12</v>
      </c>
      <c r="E11" s="12">
        <v>8884.52</v>
      </c>
      <c r="F11" s="12">
        <v>195459.44</v>
      </c>
    </row>
    <row r="12" spans="1:6" ht="45">
      <c r="A12" s="1">
        <v>7</v>
      </c>
      <c r="B12" s="7" t="s">
        <v>14</v>
      </c>
      <c r="C12" s="1">
        <v>159</v>
      </c>
      <c r="D12" s="1" t="s">
        <v>12</v>
      </c>
      <c r="E12" s="12">
        <v>17551.25</v>
      </c>
      <c r="F12" s="12">
        <v>2790648.75</v>
      </c>
    </row>
    <row r="13" spans="1:6" ht="45">
      <c r="A13" s="1">
        <v>8</v>
      </c>
      <c r="B13" s="7" t="s">
        <v>15</v>
      </c>
      <c r="C13" s="1">
        <v>480</v>
      </c>
      <c r="D13" s="1" t="s">
        <v>12</v>
      </c>
      <c r="E13" s="12">
        <v>8061.74</v>
      </c>
      <c r="F13" s="12">
        <v>3869635.2</v>
      </c>
    </row>
    <row r="14" spans="1:6" ht="45">
      <c r="A14" s="1">
        <v>9</v>
      </c>
      <c r="B14" s="7" t="s">
        <v>16</v>
      </c>
      <c r="C14" s="1">
        <v>47</v>
      </c>
      <c r="D14" s="1" t="s">
        <v>12</v>
      </c>
      <c r="E14" s="12">
        <v>5758.81</v>
      </c>
      <c r="F14" s="12">
        <v>270664.07</v>
      </c>
    </row>
    <row r="15" spans="1:6" ht="45">
      <c r="A15" s="1">
        <v>10</v>
      </c>
      <c r="B15" s="7" t="s">
        <v>17</v>
      </c>
      <c r="C15" s="1">
        <v>20</v>
      </c>
      <c r="D15" s="1" t="s">
        <v>12</v>
      </c>
      <c r="E15" s="12">
        <v>16076.46</v>
      </c>
      <c r="F15" s="12">
        <v>321529.2</v>
      </c>
    </row>
    <row r="16" spans="1:6" ht="30">
      <c r="A16" s="1">
        <v>11</v>
      </c>
      <c r="B16" s="7" t="s">
        <v>18</v>
      </c>
      <c r="C16" s="1">
        <v>2880</v>
      </c>
      <c r="D16" s="1" t="s">
        <v>12</v>
      </c>
      <c r="E16" s="12">
        <v>240.66</v>
      </c>
      <c r="F16" s="12">
        <v>693100.8</v>
      </c>
    </row>
    <row r="17" spans="1:10" ht="30">
      <c r="A17" s="1">
        <v>12</v>
      </c>
      <c r="B17" s="7" t="s">
        <v>19</v>
      </c>
      <c r="C17" s="1">
        <v>20.562999999999999</v>
      </c>
      <c r="D17" s="1" t="s">
        <v>20</v>
      </c>
      <c r="E17" s="12">
        <v>108631.05</v>
      </c>
      <c r="F17" s="12">
        <v>2233780.2799999998</v>
      </c>
    </row>
    <row r="18" spans="1:10" ht="30">
      <c r="A18" s="1">
        <v>13</v>
      </c>
      <c r="B18" s="7" t="s">
        <v>21</v>
      </c>
      <c r="C18" s="1">
        <v>3.5710000000000002</v>
      </c>
      <c r="D18" s="1" t="s">
        <v>20</v>
      </c>
      <c r="E18" s="12">
        <v>115986.09</v>
      </c>
      <c r="F18" s="12">
        <v>414186.33</v>
      </c>
    </row>
    <row r="19" spans="1:10" ht="30">
      <c r="A19" s="1">
        <v>14</v>
      </c>
      <c r="B19" s="7" t="s">
        <v>21</v>
      </c>
      <c r="C19" s="1">
        <v>480</v>
      </c>
      <c r="D19" s="1" t="s">
        <v>12</v>
      </c>
      <c r="E19" s="12">
        <v>363.26</v>
      </c>
      <c r="F19" s="12">
        <v>174364.79999999999</v>
      </c>
    </row>
    <row r="20" spans="1:10" ht="30">
      <c r="A20" s="1">
        <v>15</v>
      </c>
      <c r="B20" s="7" t="s">
        <v>22</v>
      </c>
      <c r="C20" s="1">
        <v>1.68</v>
      </c>
      <c r="D20" s="1" t="s">
        <v>20</v>
      </c>
      <c r="E20" s="12">
        <v>135109.75</v>
      </c>
      <c r="F20" s="12">
        <v>226984.38</v>
      </c>
    </row>
    <row r="21" spans="1:10" ht="15.75">
      <c r="A21" s="1"/>
      <c r="B21" s="9" t="s">
        <v>51</v>
      </c>
      <c r="C21" s="1"/>
      <c r="D21" s="1"/>
      <c r="E21" s="12"/>
      <c r="F21" s="13">
        <f>SUBTOTAL(9,F6:F20)</f>
        <v>202246617.70000002</v>
      </c>
      <c r="J21" s="14"/>
    </row>
    <row r="22" spans="1:10" ht="18.75">
      <c r="A22" s="3" t="s">
        <v>49</v>
      </c>
      <c r="B22" s="4" t="s">
        <v>50</v>
      </c>
      <c r="C22" s="1"/>
      <c r="D22" s="1"/>
      <c r="E22" s="12"/>
      <c r="F22" s="12"/>
    </row>
    <row r="23" spans="1:10">
      <c r="A23" s="1">
        <v>16</v>
      </c>
      <c r="B23" s="7" t="s">
        <v>23</v>
      </c>
      <c r="C23" s="1">
        <v>102960</v>
      </c>
      <c r="D23" s="1" t="s">
        <v>24</v>
      </c>
      <c r="E23" s="12">
        <v>2.86</v>
      </c>
      <c r="F23" s="12">
        <v>294465.59999999998</v>
      </c>
    </row>
    <row r="24" spans="1:10">
      <c r="A24" s="1">
        <v>17</v>
      </c>
      <c r="B24" s="7" t="s">
        <v>25</v>
      </c>
      <c r="C24" s="1">
        <v>40705</v>
      </c>
      <c r="D24" s="1" t="s">
        <v>24</v>
      </c>
      <c r="E24" s="12">
        <v>65.5</v>
      </c>
      <c r="F24" s="12">
        <v>2666177.5</v>
      </c>
    </row>
    <row r="25" spans="1:10">
      <c r="A25" s="1">
        <v>18</v>
      </c>
      <c r="B25" s="7" t="s">
        <v>26</v>
      </c>
      <c r="C25" s="1">
        <v>63750</v>
      </c>
      <c r="D25" s="1" t="s">
        <v>24</v>
      </c>
      <c r="E25" s="12">
        <v>54.94</v>
      </c>
      <c r="F25" s="12">
        <v>3502425</v>
      </c>
    </row>
    <row r="26" spans="1:10" ht="30">
      <c r="A26" s="1">
        <v>19</v>
      </c>
      <c r="B26" s="7" t="s">
        <v>27</v>
      </c>
      <c r="C26" s="1">
        <v>93</v>
      </c>
      <c r="D26" s="1" t="s">
        <v>12</v>
      </c>
      <c r="E26" s="12">
        <v>2137.41</v>
      </c>
      <c r="F26" s="12">
        <v>198779.13</v>
      </c>
    </row>
    <row r="27" spans="1:10">
      <c r="A27" s="1">
        <v>20</v>
      </c>
      <c r="B27" s="7" t="s">
        <v>28</v>
      </c>
      <c r="C27" s="1">
        <v>159</v>
      </c>
      <c r="D27" s="1" t="s">
        <v>12</v>
      </c>
      <c r="E27" s="12">
        <v>2271.61</v>
      </c>
      <c r="F27" s="12">
        <v>361185.99</v>
      </c>
    </row>
    <row r="28" spans="1:10" ht="30">
      <c r="A28" s="1">
        <v>21</v>
      </c>
      <c r="B28" s="7" t="s">
        <v>29</v>
      </c>
      <c r="C28" s="1">
        <v>527</v>
      </c>
      <c r="D28" s="1" t="s">
        <v>12</v>
      </c>
      <c r="E28" s="12">
        <v>1780.3</v>
      </c>
      <c r="F28" s="12">
        <v>938218.1</v>
      </c>
    </row>
    <row r="29" spans="1:10">
      <c r="A29" s="1">
        <v>22</v>
      </c>
      <c r="B29" s="7" t="s">
        <v>30</v>
      </c>
      <c r="C29" s="1">
        <v>20</v>
      </c>
      <c r="D29" s="1" t="s">
        <v>12</v>
      </c>
      <c r="E29" s="12">
        <v>2152.21</v>
      </c>
      <c r="F29" s="12">
        <v>43044.2</v>
      </c>
    </row>
    <row r="30" spans="1:10">
      <c r="A30" s="1">
        <v>23</v>
      </c>
      <c r="B30" s="7" t="s">
        <v>31</v>
      </c>
      <c r="C30" s="1">
        <v>179</v>
      </c>
      <c r="D30" s="1" t="s">
        <v>12</v>
      </c>
      <c r="E30" s="12">
        <v>9499.5400000000009</v>
      </c>
      <c r="F30" s="12">
        <v>1700417.66</v>
      </c>
    </row>
    <row r="31" spans="1:10">
      <c r="A31" s="1">
        <v>24</v>
      </c>
      <c r="B31" s="7" t="s">
        <v>32</v>
      </c>
      <c r="C31" s="1">
        <v>808</v>
      </c>
      <c r="D31" s="1" t="s">
        <v>12</v>
      </c>
      <c r="E31" s="12">
        <v>316.97000000000003</v>
      </c>
      <c r="F31" s="12">
        <v>256111.76</v>
      </c>
    </row>
    <row r="32" spans="1:10">
      <c r="A32" s="1">
        <v>25</v>
      </c>
      <c r="B32" s="7" t="s">
        <v>33</v>
      </c>
      <c r="C32" s="1">
        <v>2059</v>
      </c>
      <c r="D32" s="1" t="s">
        <v>24</v>
      </c>
      <c r="E32" s="12">
        <v>820.95</v>
      </c>
      <c r="F32" s="12">
        <v>1690336.05</v>
      </c>
    </row>
    <row r="33" spans="1:10" ht="45">
      <c r="A33" s="1">
        <v>26</v>
      </c>
      <c r="B33" s="7" t="s">
        <v>34</v>
      </c>
      <c r="C33" s="1">
        <v>40285</v>
      </c>
      <c r="D33" s="1" t="s">
        <v>24</v>
      </c>
      <c r="E33" s="12">
        <v>1677.81</v>
      </c>
      <c r="F33" s="12">
        <v>67590575.849999994</v>
      </c>
    </row>
    <row r="34" spans="1:10" ht="45">
      <c r="A34" s="1">
        <v>27</v>
      </c>
      <c r="B34" s="7" t="s">
        <v>35</v>
      </c>
      <c r="C34" s="1">
        <v>22559</v>
      </c>
      <c r="D34" s="1" t="s">
        <v>24</v>
      </c>
      <c r="E34" s="12">
        <v>1179.1199999999999</v>
      </c>
      <c r="F34" s="12">
        <v>26599768.079999998</v>
      </c>
    </row>
    <row r="35" spans="1:10" ht="30">
      <c r="A35" s="1">
        <v>28</v>
      </c>
      <c r="B35" s="7" t="s">
        <v>36</v>
      </c>
      <c r="C35" s="1">
        <v>35580</v>
      </c>
      <c r="D35" s="1" t="s">
        <v>37</v>
      </c>
      <c r="E35" s="12">
        <v>21.13</v>
      </c>
      <c r="F35" s="12">
        <v>751805.4</v>
      </c>
    </row>
    <row r="36" spans="1:10" ht="30">
      <c r="A36" s="1">
        <v>29</v>
      </c>
      <c r="B36" s="7" t="s">
        <v>38</v>
      </c>
      <c r="C36" s="1">
        <v>2545.66</v>
      </c>
      <c r="D36" s="1" t="s">
        <v>37</v>
      </c>
      <c r="E36" s="12">
        <v>21.13</v>
      </c>
      <c r="F36" s="12">
        <v>53789.8</v>
      </c>
    </row>
    <row r="37" spans="1:10">
      <c r="A37" s="1">
        <v>30</v>
      </c>
      <c r="B37" s="7" t="s">
        <v>39</v>
      </c>
      <c r="C37" s="1">
        <v>99246</v>
      </c>
      <c r="D37" s="1" t="s">
        <v>12</v>
      </c>
      <c r="E37" s="12">
        <v>8.99</v>
      </c>
      <c r="F37" s="12">
        <v>892221.54</v>
      </c>
    </row>
    <row r="38" spans="1:10" ht="30">
      <c r="A38" s="1">
        <v>31</v>
      </c>
      <c r="B38" s="7" t="s">
        <v>40</v>
      </c>
      <c r="C38" s="1">
        <v>30</v>
      </c>
      <c r="D38" s="1" t="s">
        <v>12</v>
      </c>
      <c r="E38" s="12">
        <v>25426.14</v>
      </c>
      <c r="F38" s="12">
        <v>762784.2</v>
      </c>
    </row>
    <row r="39" spans="1:10">
      <c r="A39" s="1">
        <v>32</v>
      </c>
      <c r="B39" s="7" t="s">
        <v>41</v>
      </c>
      <c r="C39" s="1">
        <v>12</v>
      </c>
      <c r="D39" s="1" t="s">
        <v>6</v>
      </c>
      <c r="E39" s="12">
        <v>10340.549999999999</v>
      </c>
      <c r="F39" s="12">
        <v>124086.6</v>
      </c>
    </row>
    <row r="40" spans="1:10">
      <c r="A40" s="1">
        <v>33</v>
      </c>
      <c r="B40" s="7" t="s">
        <v>42</v>
      </c>
      <c r="C40" s="1">
        <v>18</v>
      </c>
      <c r="D40" s="1" t="s">
        <v>6</v>
      </c>
      <c r="E40" s="12">
        <v>13071.77</v>
      </c>
      <c r="F40" s="12">
        <v>235291.86</v>
      </c>
    </row>
    <row r="41" spans="1:10" ht="30">
      <c r="A41" s="1">
        <v>34</v>
      </c>
      <c r="B41" s="7" t="s">
        <v>43</v>
      </c>
      <c r="C41" s="1">
        <v>30</v>
      </c>
      <c r="D41" s="1" t="s">
        <v>12</v>
      </c>
      <c r="E41" s="12">
        <v>5322.95</v>
      </c>
      <c r="F41" s="12">
        <v>159688.5</v>
      </c>
    </row>
    <row r="42" spans="1:10">
      <c r="A42" s="1">
        <v>35</v>
      </c>
      <c r="B42" s="7" t="s">
        <v>44</v>
      </c>
      <c r="C42" s="1">
        <v>2880</v>
      </c>
      <c r="D42" s="1" t="s">
        <v>12</v>
      </c>
      <c r="E42" s="12">
        <v>66.55</v>
      </c>
      <c r="F42" s="12">
        <v>191664</v>
      </c>
    </row>
    <row r="43" spans="1:10">
      <c r="A43" s="1">
        <v>36</v>
      </c>
      <c r="B43" s="7" t="s">
        <v>45</v>
      </c>
      <c r="C43" s="1">
        <v>480</v>
      </c>
      <c r="D43" s="1" t="s">
        <v>12</v>
      </c>
      <c r="E43" s="12">
        <v>330.7</v>
      </c>
      <c r="F43" s="12">
        <v>158736</v>
      </c>
    </row>
    <row r="44" spans="1:10" ht="15.75">
      <c r="A44" s="5"/>
      <c r="B44" s="9" t="s">
        <v>52</v>
      </c>
      <c r="C44" s="1"/>
      <c r="D44" s="1"/>
      <c r="E44" s="12"/>
      <c r="F44" s="12">
        <f>SUBTOTAL(9,F23:F43)</f>
        <v>109171572.81999999</v>
      </c>
      <c r="J44" s="14"/>
    </row>
    <row r="45" spans="1:10">
      <c r="A45" s="20" t="s">
        <v>46</v>
      </c>
      <c r="B45" s="21"/>
      <c r="C45" s="22"/>
      <c r="D45" s="1"/>
      <c r="E45" s="1"/>
      <c r="F45" s="12">
        <f>F44+F21</f>
        <v>311418190.51999998</v>
      </c>
    </row>
    <row r="46" spans="1:10" ht="24" customHeight="1">
      <c r="A46" s="17" t="s">
        <v>53</v>
      </c>
      <c r="B46" s="18"/>
      <c r="C46" s="18"/>
      <c r="D46" s="18"/>
      <c r="E46" s="18"/>
      <c r="F46" s="19"/>
    </row>
  </sheetData>
  <mergeCells count="4">
    <mergeCell ref="A2:F2"/>
    <mergeCell ref="A1:F1"/>
    <mergeCell ref="A46:F46"/>
    <mergeCell ref="A45:C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NORTH05</dc:creator>
  <cp:lastModifiedBy>pc</cp:lastModifiedBy>
  <cp:lastPrinted>2026-02-11T11:30:30Z</cp:lastPrinted>
  <dcterms:created xsi:type="dcterms:W3CDTF">2026-02-11T09:54:04Z</dcterms:created>
  <dcterms:modified xsi:type="dcterms:W3CDTF">2026-02-11T12:07:06Z</dcterms:modified>
</cp:coreProperties>
</file>